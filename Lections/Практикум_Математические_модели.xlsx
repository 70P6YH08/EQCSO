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221\Students\ispp-31\ОКФКС\Lections\"/>
    </mc:Choice>
  </mc:AlternateContent>
  <bookViews>
    <workbookView xWindow="0" yWindow="0" windowWidth="28800" windowHeight="12330" activeTab="2"/>
  </bookViews>
  <sheets>
    <sheet name="Тесты" sheetId="2" r:id="rId1"/>
    <sheet name="Отказы" sheetId="3" r:id="rId2"/>
    <sheet name="Исправления" sheetId="4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4" l="1"/>
  <c r="J13" i="4" s="1"/>
  <c r="H6" i="4"/>
  <c r="E8" i="4"/>
  <c r="E7" i="4"/>
  <c r="E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C8" i="4"/>
  <c r="H7" i="4"/>
  <c r="H8" i="4" s="1"/>
  <c r="H9" i="4" s="1"/>
  <c r="C7" i="4"/>
  <c r="C6" i="4"/>
  <c r="H5" i="4"/>
  <c r="B10" i="3"/>
  <c r="B13" i="3" s="1"/>
  <c r="B10" i="2"/>
  <c r="B11" i="2" s="1"/>
  <c r="B12" i="2" l="1"/>
  <c r="B13" i="2" s="1"/>
  <c r="H10" i="4"/>
  <c r="D9" i="4" s="1"/>
  <c r="B14" i="3"/>
  <c r="B11" i="3"/>
  <c r="B12" i="3"/>
  <c r="D10" i="4" l="1"/>
  <c r="D11" i="4"/>
  <c r="D6" i="4"/>
  <c r="D14" i="4"/>
  <c r="D12" i="4"/>
  <c r="D7" i="4"/>
  <c r="D8" i="4"/>
  <c r="D13" i="4"/>
  <c r="D15" i="4"/>
  <c r="H15" i="4" s="1"/>
  <c r="H14" i="4" l="1"/>
</calcChain>
</file>

<file path=xl/sharedStrings.xml><?xml version="1.0" encoding="utf-8"?>
<sst xmlns="http://schemas.openxmlformats.org/spreadsheetml/2006/main" count="51" uniqueCount="50">
  <si>
    <t>1. Вероятность неуспешного теста</t>
  </si>
  <si>
    <t>Модель Бернулли / биномиальная</t>
  </si>
  <si>
    <t>Тестов выполнено</t>
  </si>
  <si>
    <t>Неуспешных тестов</t>
  </si>
  <si>
    <t>Будущих тестов</t>
  </si>
  <si>
    <t>Вероятность неуспеха p</t>
  </si>
  <si>
    <t>Шаг 1. Число неуспехов разделить на число тестов.</t>
  </si>
  <si>
    <t>Ожидаемое число неуспехов</t>
  </si>
  <si>
    <t>Шаг 2. Число будущих тестов умножить на вероятность.</t>
  </si>
  <si>
    <t>Вероятность всех успехов</t>
  </si>
  <si>
    <t>Шаг 3. Вероятность успеха одного теста возвести в степень числа тестов.</t>
  </si>
  <si>
    <t>Хотя бы один неуспех</t>
  </si>
  <si>
    <t>Шаг 4. Из единицы вычесть вероятность всех успехов.</t>
  </si>
  <si>
    <t>Когда применимо</t>
  </si>
  <si>
    <t>Сборка не меняется; тесты независимы и имеют примерно одинаковую вероятность неуспеха.</t>
  </si>
  <si>
    <t>2. Отказы за время и работа без отказов</t>
  </si>
  <si>
    <t>Пуассон + экспоненциальная модель</t>
  </si>
  <si>
    <t>Время наблюдения, ч</t>
  </si>
  <si>
    <t>Число отказов</t>
  </si>
  <si>
    <t>Будущий период, ч</t>
  </si>
  <si>
    <t>Интенсивность λ, отказов/ч</t>
  </si>
  <si>
    <t>Шаг 1. Делим число отказов на время наблюдения.</t>
  </si>
  <si>
    <t>Ожидаемое число отказов</t>
  </si>
  <si>
    <t>Пуассон: среднее число отказов за выбранный будущий период.</t>
  </si>
  <si>
    <t>Среднее ожидание отказа, ч</t>
  </si>
  <si>
    <t>Обратная величина интенсивности. При нуле наблюдений оценка не определяется.</t>
  </si>
  <si>
    <t>Вероятность без отказа</t>
  </si>
  <si>
    <t>Экспоненциальная модель: EXP вычисляет e в указанной степени.</t>
  </si>
  <si>
    <t>Хотя бы один отказ</t>
  </si>
  <si>
    <t>Тот же будущий период.</t>
  </si>
  <si>
    <t>Интенсивность примерно постоянна; отказы не образуют зависимые серии.</t>
  </si>
  <si>
    <t>3. Исправления и прогноз новых дефектов</t>
  </si>
  <si>
    <t>Конец периода, ч</t>
  </si>
  <si>
    <t>Новых дефектов</t>
  </si>
  <si>
    <t>Всего найдено</t>
  </si>
  <si>
    <t>Модель: всего</t>
  </si>
  <si>
    <t>Частота, 1/ч</t>
  </si>
  <si>
    <t>Длина половины T, ч</t>
  </si>
  <si>
    <t>Найдено в первой половине</t>
  </si>
  <si>
    <t>Найдено во второй половине</t>
  </si>
  <si>
    <t>Доля q = вторая / первая</t>
  </si>
  <si>
    <t>Оценка общего числа a</t>
  </si>
  <si>
    <t>Скорость снижения b, 1/ч</t>
  </si>
  <si>
    <t>Дополнительно тестируем, ч</t>
  </si>
  <si>
    <t>Прогноз: всего к концу</t>
  </si>
  <si>
    <t>Прогноз: новых за период</t>
  </si>
  <si>
    <t>Остаток модели на 100 ч</t>
  </si>
  <si>
    <t>Условие простой оценки</t>
  </si>
  <si>
    <t>0 &lt; q &lt; 1</t>
  </si>
  <si>
    <t>Модель Гоэла—Окумото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</si>
</sst>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0.000"/>
    <numFmt numFmtId="166" formatCode="0.00000"/>
  </numFmts>
  <fonts count="6">
    <font>
      <sz val="11"/>
      <name val="Carlito"/>
    </font>
    <font>
      <sz val="11"/>
      <color rgb="FF20344E"/>
      <name val="Arial"/>
    </font>
    <font>
      <b/>
      <sz val="16"/>
      <color rgb="FF20344E"/>
      <name val="Arial"/>
    </font>
    <font>
      <b/>
      <sz val="11"/>
      <color rgb="FFFFFFFF"/>
      <name val="Arial"/>
    </font>
    <font>
      <sz val="11"/>
      <color rgb="FF805C0A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0344E"/>
      </patternFill>
    </fill>
    <fill>
      <patternFill patternType="solid">
        <fgColor rgb="FFFFF0B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0" xfId="1" applyFont="1" applyFill="1" applyAlignment="1">
      <alignment wrapText="1"/>
    </xf>
    <xf numFmtId="164" fontId="1" fillId="0" borderId="0" xfId="1" applyNumberFormat="1" applyFont="1"/>
    <xf numFmtId="2" fontId="1" fillId="0" borderId="0" xfId="1" applyNumberFormat="1" applyFont="1"/>
    <xf numFmtId="0" fontId="4" fillId="3" borderId="0" xfId="1" applyFont="1" applyFill="1"/>
    <xf numFmtId="165" fontId="1" fillId="0" borderId="0" xfId="1" applyNumberFormat="1" applyFont="1"/>
    <xf numFmtId="166" fontId="1" fillId="0" borderId="0" xfId="1" applyNumberFormat="1" applyFont="1"/>
    <xf numFmtId="1" fontId="4" fillId="3" borderId="0" xfId="1" applyNumberFormat="1" applyFont="1" applyFill="1"/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Найденные дефекты: факт и модель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Всего найдено</c:v>
          </c:tx>
          <c:spPr>
            <a:ln w="19050">
              <a:solidFill>
                <a:srgbClr val="20344E"/>
              </a:solidFill>
              <a:prstDash val="solid"/>
            </a:ln>
          </c:spPr>
          <c:marker>
            <c:symbol val="none"/>
          </c:marker>
          <c:cat>
            <c:numRef>
              <c:f>Исправления!$A$6:$A$15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Исправления!$C$6:$C$15</c:f>
              <c:numCache>
                <c:formatCode>General</c:formatCode>
                <c:ptCount val="10"/>
                <c:pt idx="0">
                  <c:v>18</c:v>
                </c:pt>
                <c:pt idx="1">
                  <c:v>33</c:v>
                </c:pt>
                <c:pt idx="2">
                  <c:v>45</c:v>
                </c:pt>
                <c:pt idx="3">
                  <c:v>55</c:v>
                </c:pt>
                <c:pt idx="4">
                  <c:v>63</c:v>
                </c:pt>
                <c:pt idx="5">
                  <c:v>70</c:v>
                </c:pt>
                <c:pt idx="6">
                  <c:v>75</c:v>
                </c:pt>
                <c:pt idx="7">
                  <c:v>79</c:v>
                </c:pt>
                <c:pt idx="8">
                  <c:v>82</c:v>
                </c:pt>
                <c:pt idx="9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9-47AC-AB2B-C7041C6FE55F}"/>
            </c:ext>
          </c:extLst>
        </c:ser>
        <c:ser>
          <c:idx val="1"/>
          <c:order val="1"/>
          <c:tx>
            <c:v>Модель: всего</c:v>
          </c:tx>
          <c:spPr>
            <a:ln w="19050">
              <a:solidFill>
                <a:srgbClr val="D17A22"/>
              </a:solidFill>
              <a:prstDash val="solid"/>
            </a:ln>
          </c:spPr>
          <c:marker>
            <c:symbol val="none"/>
          </c:marker>
          <c:cat>
            <c:numRef>
              <c:f>Исправления!$A$6:$A$15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Исправления!$D$6:$D$15</c:f>
              <c:numCache>
                <c:formatCode>0.00</c:formatCode>
                <c:ptCount val="10"/>
                <c:pt idx="0">
                  <c:v>18.640922413658195</c:v>
                </c:pt>
                <c:pt idx="1">
                  <c:v>33.604765584649471</c:v>
                </c:pt>
                <c:pt idx="2">
                  <c:v>45.616864421666158</c:v>
                </c:pt>
                <c:pt idx="3">
                  <c:v>55.2594754021112</c:v>
                </c:pt>
                <c:pt idx="4">
                  <c:v>63</c:v>
                </c:pt>
                <c:pt idx="5">
                  <c:v>69.213640804552725</c:v>
                </c:pt>
                <c:pt idx="6">
                  <c:v>74.201588528216476</c:v>
                </c:pt>
                <c:pt idx="7">
                  <c:v>78.205621473888712</c:v>
                </c:pt>
                <c:pt idx="8">
                  <c:v>81.419825134037055</c:v>
                </c:pt>
                <c:pt idx="9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C9-47AC-AB2B-C7041C6FE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ru-RU"/>
                  <a:t>Время, ч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ru-RU"/>
                  <a:t>Накопленное число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showGridLines="0" workbookViewId="0">
      <selection activeCell="B13" sqref="B13"/>
    </sheetView>
  </sheetViews>
  <sheetFormatPr defaultRowHeight="14.25"/>
  <cols>
    <col min="1" max="1" width="39" customWidth="1"/>
    <col min="2" max="2" width="18" customWidth="1"/>
    <col min="3" max="3" width="3" customWidth="1"/>
    <col min="4" max="4" width="82" customWidth="1"/>
    <col min="5" max="5" width="3" customWidth="1"/>
  </cols>
  <sheetData>
    <row r="1" spans="1:5" ht="29.1" customHeight="1">
      <c r="A1" s="1"/>
      <c r="B1" s="1"/>
      <c r="C1" s="1"/>
      <c r="D1" s="1"/>
      <c r="E1" s="1"/>
    </row>
    <row r="2" spans="1:5" ht="29.1" customHeight="1">
      <c r="A2" s="2" t="s">
        <v>0</v>
      </c>
      <c r="B2" s="1"/>
      <c r="C2" s="1"/>
      <c r="D2" s="1"/>
      <c r="E2" s="1"/>
    </row>
    <row r="3" spans="1:5" ht="29.1" customHeight="1">
      <c r="A3" s="1" t="s">
        <v>1</v>
      </c>
      <c r="B3" s="1"/>
      <c r="C3" s="1"/>
      <c r="D3" s="1"/>
      <c r="E3" s="1"/>
    </row>
    <row r="4" spans="1:5" ht="29.1" customHeight="1">
      <c r="A4" s="1"/>
      <c r="B4" s="1"/>
      <c r="C4" s="1"/>
      <c r="D4" s="1"/>
      <c r="E4" s="1"/>
    </row>
    <row r="5" spans="1:5" ht="29.1" customHeight="1">
      <c r="A5" s="1" t="s">
        <v>2</v>
      </c>
      <c r="B5" s="6">
        <v>1000</v>
      </c>
      <c r="C5" s="1"/>
      <c r="D5" s="1"/>
      <c r="E5" s="1"/>
    </row>
    <row r="6" spans="1:5" ht="29.1" customHeight="1">
      <c r="A6" s="1" t="s">
        <v>3</v>
      </c>
      <c r="B6" s="6">
        <v>12</v>
      </c>
      <c r="C6" s="1"/>
      <c r="D6" s="1"/>
      <c r="E6" s="1"/>
    </row>
    <row r="7" spans="1:5" ht="29.1" customHeight="1">
      <c r="A7" s="1" t="s">
        <v>4</v>
      </c>
      <c r="B7" s="6">
        <v>100</v>
      </c>
      <c r="C7" s="1"/>
      <c r="D7" s="1"/>
      <c r="E7" s="1"/>
    </row>
    <row r="8" spans="1:5" ht="29.1" customHeight="1">
      <c r="A8" s="1"/>
      <c r="B8" s="1"/>
      <c r="C8" s="1"/>
      <c r="D8" s="1"/>
      <c r="E8" s="1"/>
    </row>
    <row r="9" spans="1:5" ht="29.1" customHeight="1">
      <c r="A9" s="1"/>
      <c r="B9" s="1"/>
      <c r="C9" s="1"/>
      <c r="D9" s="1"/>
      <c r="E9" s="1"/>
    </row>
    <row r="10" spans="1:5" ht="29.1" customHeight="1">
      <c r="A10" s="1" t="s">
        <v>5</v>
      </c>
      <c r="B10" s="4">
        <f>B6/B5</f>
        <v>1.2E-2</v>
      </c>
      <c r="C10" s="1"/>
      <c r="D10" s="1" t="s">
        <v>6</v>
      </c>
      <c r="E10" s="1"/>
    </row>
    <row r="11" spans="1:5" ht="29.1" customHeight="1">
      <c r="A11" s="1" t="s">
        <v>7</v>
      </c>
      <c r="B11" s="5">
        <f>B7*B10</f>
        <v>1.2</v>
      </c>
      <c r="C11" s="1"/>
      <c r="D11" s="1" t="s">
        <v>8</v>
      </c>
      <c r="E11" s="1"/>
    </row>
    <row r="12" spans="1:5" ht="29.1" customHeight="1">
      <c r="A12" s="1" t="s">
        <v>9</v>
      </c>
      <c r="B12" s="4">
        <f>(1-B10)^B7</f>
        <v>0.29901602149642337</v>
      </c>
      <c r="C12" s="1"/>
      <c r="D12" s="1" t="s">
        <v>10</v>
      </c>
      <c r="E12" s="1"/>
    </row>
    <row r="13" spans="1:5" ht="29.1" customHeight="1">
      <c r="A13" s="1" t="s">
        <v>11</v>
      </c>
      <c r="B13" s="4">
        <f>1-B12</f>
        <v>0.70098397850357663</v>
      </c>
      <c r="C13" s="1"/>
      <c r="D13" s="1" t="s">
        <v>12</v>
      </c>
      <c r="E13" s="1"/>
    </row>
    <row r="14" spans="1:5" ht="29.1" customHeight="1">
      <c r="A14" s="1"/>
      <c r="B14" s="1"/>
      <c r="C14" s="1"/>
      <c r="D14" s="1"/>
      <c r="E14" s="1"/>
    </row>
    <row r="15" spans="1:5" ht="29.1" customHeight="1">
      <c r="A15" s="1"/>
      <c r="B15" s="1"/>
      <c r="C15" s="1"/>
      <c r="D15" s="1"/>
      <c r="E15" s="1"/>
    </row>
    <row r="16" spans="1:5" ht="29.1" customHeight="1">
      <c r="A16" s="1" t="s">
        <v>13</v>
      </c>
      <c r="B16" s="1"/>
      <c r="C16" s="1"/>
      <c r="D16" s="1" t="s">
        <v>14</v>
      </c>
      <c r="E16" s="1"/>
    </row>
    <row r="17" spans="1:5" ht="29.1" customHeight="1">
      <c r="A17" s="1"/>
      <c r="B17" s="1"/>
      <c r="C17" s="1"/>
      <c r="D17" s="1"/>
      <c r="E17" s="1"/>
    </row>
    <row r="18" spans="1:5" ht="29.1" customHeight="1">
      <c r="A18" s="1"/>
      <c r="B18" s="1"/>
      <c r="C18" s="1"/>
      <c r="D18" s="1"/>
      <c r="E18" s="1"/>
    </row>
    <row r="19" spans="1:5" ht="29.1" customHeight="1">
      <c r="A19" s="1"/>
      <c r="B19" s="1"/>
      <c r="C19" s="1"/>
      <c r="D19" s="1"/>
      <c r="E19" s="1"/>
    </row>
    <row r="20" spans="1:5" ht="29.1" customHeight="1">
      <c r="A20" s="1"/>
      <c r="B20" s="1"/>
      <c r="C20" s="1"/>
      <c r="D20" s="1"/>
      <c r="E20" s="1"/>
    </row>
    <row r="21" spans="1:5" ht="29.1" customHeight="1">
      <c r="A21" s="1"/>
      <c r="B21" s="1"/>
      <c r="C21" s="1"/>
      <c r="D21" s="1"/>
      <c r="E21" s="1"/>
    </row>
    <row r="22" spans="1:5" ht="29.1" customHeight="1">
      <c r="A22" s="1"/>
      <c r="B22" s="1"/>
      <c r="C22" s="1"/>
      <c r="D22" s="1"/>
      <c r="E22" s="1"/>
    </row>
    <row r="23" spans="1:5" ht="29.1" customHeight="1">
      <c r="A23" s="1"/>
      <c r="B23" s="1"/>
      <c r="C23" s="1"/>
      <c r="D23" s="1"/>
      <c r="E23" s="1"/>
    </row>
    <row r="24" spans="1:5" ht="29.1" customHeight="1">
      <c r="A24" s="1"/>
      <c r="B24" s="1"/>
      <c r="C24" s="1"/>
      <c r="D24" s="1"/>
      <c r="E24" s="1"/>
    </row>
    <row r="25" spans="1:5" ht="29.1" customHeight="1">
      <c r="A25" s="1"/>
      <c r="B25" s="1"/>
      <c r="C25" s="1"/>
      <c r="D25" s="1"/>
      <c r="E25" s="1"/>
    </row>
    <row r="26" spans="1:5" ht="29.1" customHeight="1">
      <c r="A26" s="1"/>
      <c r="B26" s="1"/>
      <c r="C26" s="1"/>
      <c r="D26" s="1"/>
      <c r="E26" s="1"/>
    </row>
    <row r="27" spans="1:5" ht="29.1" customHeight="1">
      <c r="A27" s="1"/>
      <c r="B27" s="1"/>
      <c r="C27" s="1"/>
      <c r="D27" s="1"/>
      <c r="E27" s="1"/>
    </row>
    <row r="28" spans="1:5" ht="29.1" customHeight="1">
      <c r="A28" s="1"/>
      <c r="B28" s="1"/>
      <c r="C28" s="1"/>
      <c r="D28" s="1"/>
      <c r="E28" s="1"/>
    </row>
    <row r="29" spans="1:5" ht="29.1" customHeight="1">
      <c r="A29" s="1"/>
      <c r="B29" s="1"/>
      <c r="C29" s="1"/>
      <c r="D29" s="1"/>
      <c r="E29" s="1"/>
    </row>
    <row r="30" spans="1:5" ht="29.1" customHeight="1">
      <c r="A30" s="1"/>
      <c r="B30" s="1"/>
      <c r="C30" s="1"/>
      <c r="D30" s="1"/>
      <c r="E30" s="1"/>
    </row>
    <row r="31" spans="1:5" ht="29.1" customHeight="1">
      <c r="A31" s="1"/>
      <c r="B31" s="1"/>
      <c r="C31" s="1"/>
      <c r="D31" s="1"/>
      <c r="E31" s="1"/>
    </row>
    <row r="32" spans="1:5" ht="29.1" customHeight="1">
      <c r="A32" s="1"/>
      <c r="B32" s="1"/>
      <c r="C32" s="1"/>
      <c r="D32" s="1"/>
      <c r="E32" s="1"/>
    </row>
  </sheetData>
  <dataValidations count="3">
    <dataValidation type="decimal" operator="greaterThan" sqref="B5">
      <formula1>0</formula1>
    </dataValidation>
    <dataValidation type="whole" sqref="B6">
      <formula1>0</formula1>
      <formula2>B5</formula2>
    </dataValidation>
    <dataValidation type="whole" operator="greaterThanOrEqual" sqref="B7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showGridLines="0" workbookViewId="0">
      <selection activeCell="B13" sqref="B13"/>
    </sheetView>
  </sheetViews>
  <sheetFormatPr defaultRowHeight="14.25"/>
  <cols>
    <col min="1" max="1" width="39" customWidth="1"/>
    <col min="2" max="2" width="18" customWidth="1"/>
    <col min="3" max="3" width="3" customWidth="1"/>
    <col min="4" max="4" width="82" customWidth="1"/>
    <col min="5" max="5" width="3" customWidth="1"/>
  </cols>
  <sheetData>
    <row r="1" spans="1:5" ht="29.1" customHeight="1">
      <c r="A1" s="1"/>
      <c r="B1" s="1"/>
      <c r="C1" s="1"/>
      <c r="D1" s="1"/>
      <c r="E1" s="1"/>
    </row>
    <row r="2" spans="1:5" ht="29.1" customHeight="1">
      <c r="A2" s="2" t="s">
        <v>15</v>
      </c>
      <c r="B2" s="1"/>
      <c r="C2" s="1"/>
      <c r="D2" s="1"/>
      <c r="E2" s="1"/>
    </row>
    <row r="3" spans="1:5" ht="29.1" customHeight="1">
      <c r="A3" s="1" t="s">
        <v>16</v>
      </c>
      <c r="B3" s="1"/>
      <c r="C3" s="1"/>
      <c r="D3" s="1"/>
      <c r="E3" s="1"/>
    </row>
    <row r="4" spans="1:5" ht="29.1" customHeight="1">
      <c r="A4" s="1"/>
      <c r="B4" s="1"/>
      <c r="C4" s="1"/>
      <c r="D4" s="1"/>
      <c r="E4" s="1"/>
    </row>
    <row r="5" spans="1:5" ht="29.1" customHeight="1">
      <c r="A5" s="1" t="s">
        <v>17</v>
      </c>
      <c r="B5" s="6">
        <v>20</v>
      </c>
      <c r="C5" s="1"/>
      <c r="D5" s="1"/>
      <c r="E5" s="1"/>
    </row>
    <row r="6" spans="1:5" ht="29.1" customHeight="1">
      <c r="A6" s="1" t="s">
        <v>18</v>
      </c>
      <c r="B6" s="6">
        <v>5</v>
      </c>
      <c r="C6" s="1"/>
      <c r="D6" s="1"/>
      <c r="E6" s="1"/>
    </row>
    <row r="7" spans="1:5" ht="29.1" customHeight="1">
      <c r="A7" s="1" t="s">
        <v>19</v>
      </c>
      <c r="B7" s="6">
        <v>2</v>
      </c>
      <c r="C7" s="1"/>
      <c r="D7" s="1"/>
      <c r="E7" s="1"/>
    </row>
    <row r="8" spans="1:5" ht="29.1" customHeight="1">
      <c r="A8" s="1"/>
      <c r="B8" s="1"/>
      <c r="C8" s="1"/>
      <c r="D8" s="1"/>
      <c r="E8" s="1"/>
    </row>
    <row r="9" spans="1:5" ht="29.1" customHeight="1">
      <c r="A9" s="1"/>
      <c r="B9" s="1"/>
      <c r="C9" s="1"/>
      <c r="D9" s="1"/>
      <c r="E9" s="1"/>
    </row>
    <row r="10" spans="1:5" ht="29.1" customHeight="1">
      <c r="A10" s="1" t="s">
        <v>20</v>
      </c>
      <c r="B10" s="5">
        <f>B6/B5</f>
        <v>0.25</v>
      </c>
      <c r="C10" s="1"/>
      <c r="D10" s="1" t="s">
        <v>21</v>
      </c>
      <c r="E10" s="1"/>
    </row>
    <row r="11" spans="1:5" ht="29.1" customHeight="1">
      <c r="A11" s="1" t="s">
        <v>22</v>
      </c>
      <c r="B11" s="5">
        <f>B10*B7</f>
        <v>0.5</v>
      </c>
      <c r="C11" s="1"/>
      <c r="D11" s="1" t="s">
        <v>23</v>
      </c>
      <c r="E11" s="1"/>
    </row>
    <row r="12" spans="1:5" ht="29.1" customHeight="1">
      <c r="A12" s="1" t="s">
        <v>24</v>
      </c>
      <c r="B12" s="5">
        <f>IF(B10=0,"нет оценки",1/B10)</f>
        <v>4</v>
      </c>
      <c r="C12" s="1"/>
      <c r="D12" s="1" t="s">
        <v>25</v>
      </c>
      <c r="E12" s="1"/>
    </row>
    <row r="13" spans="1:5" ht="29.1" customHeight="1">
      <c r="A13" s="1" t="s">
        <v>26</v>
      </c>
      <c r="B13" s="4">
        <f>EXP(-B10*B7)</f>
        <v>0.60653065971263342</v>
      </c>
      <c r="C13" s="1"/>
      <c r="D13" s="1" t="s">
        <v>27</v>
      </c>
      <c r="E13" s="1"/>
    </row>
    <row r="14" spans="1:5" ht="29.1" customHeight="1">
      <c r="A14" s="1" t="s">
        <v>28</v>
      </c>
      <c r="B14" s="4">
        <f>1-B13</f>
        <v>0.39346934028736658</v>
      </c>
      <c r="C14" s="1"/>
      <c r="D14" s="1" t="s">
        <v>29</v>
      </c>
      <c r="E14" s="1"/>
    </row>
    <row r="15" spans="1:5" ht="29.1" customHeight="1">
      <c r="A15" s="1"/>
      <c r="B15" s="1"/>
      <c r="C15" s="1"/>
      <c r="D15" s="1"/>
      <c r="E15" s="1"/>
    </row>
    <row r="16" spans="1:5" ht="29.1" customHeight="1">
      <c r="A16" s="1"/>
      <c r="B16" s="1"/>
      <c r="C16" s="1"/>
      <c r="D16" s="1"/>
      <c r="E16" s="1"/>
    </row>
    <row r="17" spans="1:5" ht="29.1" customHeight="1">
      <c r="A17" s="1" t="s">
        <v>13</v>
      </c>
      <c r="B17" s="1"/>
      <c r="C17" s="1"/>
      <c r="D17" s="1" t="s">
        <v>30</v>
      </c>
      <c r="E17" s="1"/>
    </row>
    <row r="18" spans="1:5" ht="29.1" customHeight="1">
      <c r="A18" s="1"/>
      <c r="B18" s="1"/>
      <c r="C18" s="1"/>
      <c r="D18" s="1"/>
      <c r="E18" s="1"/>
    </row>
    <row r="19" spans="1:5" ht="29.1" customHeight="1">
      <c r="A19" s="1"/>
      <c r="B19" s="1"/>
      <c r="C19" s="1"/>
      <c r="D19" s="1"/>
      <c r="E19" s="1"/>
    </row>
    <row r="20" spans="1:5" ht="29.1" customHeight="1">
      <c r="A20" s="1"/>
      <c r="B20" s="1"/>
      <c r="C20" s="1"/>
      <c r="D20" s="1"/>
      <c r="E20" s="1"/>
    </row>
    <row r="21" spans="1:5" ht="29.1" customHeight="1">
      <c r="A21" s="1"/>
      <c r="B21" s="1"/>
      <c r="C21" s="1"/>
      <c r="D21" s="1"/>
      <c r="E21" s="1"/>
    </row>
    <row r="22" spans="1:5" ht="29.1" customHeight="1">
      <c r="A22" s="1"/>
      <c r="B22" s="1"/>
      <c r="C22" s="1"/>
      <c r="D22" s="1"/>
      <c r="E22" s="1"/>
    </row>
    <row r="23" spans="1:5" ht="29.1" customHeight="1">
      <c r="A23" s="1"/>
      <c r="B23" s="1"/>
      <c r="C23" s="1"/>
      <c r="D23" s="1"/>
      <c r="E23" s="1"/>
    </row>
    <row r="24" spans="1:5" ht="29.1" customHeight="1">
      <c r="A24" s="1"/>
      <c r="B24" s="1"/>
      <c r="C24" s="1"/>
      <c r="D24" s="1"/>
      <c r="E24" s="1"/>
    </row>
    <row r="25" spans="1:5" ht="29.1" customHeight="1">
      <c r="A25" s="1"/>
      <c r="B25" s="1"/>
      <c r="C25" s="1"/>
      <c r="D25" s="1"/>
      <c r="E25" s="1"/>
    </row>
    <row r="26" spans="1:5" ht="29.1" customHeight="1">
      <c r="A26" s="1"/>
      <c r="B26" s="1"/>
      <c r="C26" s="1"/>
      <c r="D26" s="1"/>
      <c r="E26" s="1"/>
    </row>
    <row r="27" spans="1:5" ht="29.1" customHeight="1">
      <c r="A27" s="1"/>
      <c r="B27" s="1"/>
      <c r="C27" s="1"/>
      <c r="D27" s="1"/>
      <c r="E27" s="1"/>
    </row>
    <row r="28" spans="1:5" ht="29.1" customHeight="1">
      <c r="A28" s="1"/>
      <c r="B28" s="1"/>
      <c r="C28" s="1"/>
      <c r="D28" s="1"/>
      <c r="E28" s="1"/>
    </row>
    <row r="29" spans="1:5" ht="29.1" customHeight="1">
      <c r="A29" s="1"/>
      <c r="B29" s="1"/>
      <c r="C29" s="1"/>
      <c r="D29" s="1"/>
      <c r="E29" s="1"/>
    </row>
    <row r="30" spans="1:5" ht="29.1" customHeight="1">
      <c r="A30" s="1"/>
      <c r="B30" s="1"/>
      <c r="C30" s="1"/>
      <c r="D30" s="1"/>
      <c r="E30" s="1"/>
    </row>
    <row r="31" spans="1:5" ht="29.1" customHeight="1">
      <c r="A31" s="1"/>
      <c r="B31" s="1"/>
      <c r="C31" s="1"/>
      <c r="D31" s="1"/>
      <c r="E31" s="1"/>
    </row>
    <row r="32" spans="1:5" ht="29.1" customHeight="1">
      <c r="A32" s="1"/>
      <c r="B32" s="1"/>
      <c r="C32" s="1"/>
      <c r="D32" s="1"/>
      <c r="E32" s="1"/>
    </row>
  </sheetData>
  <dataValidations count="2">
    <dataValidation type="decimal" operator="greaterThan" sqref="B5">
      <formula1>0</formula1>
    </dataValidation>
    <dataValidation type="whole" operator="greaterThanOrEqual" sqref="B6:B7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showGridLines="0" tabSelected="1" workbookViewId="0">
      <selection activeCell="H6" sqref="H6"/>
    </sheetView>
  </sheetViews>
  <sheetFormatPr defaultRowHeight="14.25"/>
  <cols>
    <col min="1" max="5" width="19" customWidth="1"/>
    <col min="6" max="6" width="3" customWidth="1"/>
    <col min="7" max="7" width="37" customWidth="1"/>
    <col min="8" max="8" width="18" customWidth="1"/>
  </cols>
  <sheetData>
    <row r="1" spans="1:10" ht="29.1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9.1" customHeight="1">
      <c r="A2" s="2" t="s">
        <v>31</v>
      </c>
      <c r="B2" s="1"/>
      <c r="C2" s="1"/>
      <c r="D2" s="1"/>
      <c r="E2" s="1"/>
      <c r="F2" s="1"/>
      <c r="G2" s="1"/>
      <c r="H2" s="1"/>
      <c r="I2" s="1"/>
      <c r="J2" s="1"/>
    </row>
    <row r="3" spans="1:10" ht="29.1" customHeight="1">
      <c r="A3" s="1" t="s">
        <v>49</v>
      </c>
      <c r="B3" s="1"/>
      <c r="C3" s="1"/>
      <c r="D3" s="1"/>
      <c r="E3" s="1"/>
      <c r="F3" s="1"/>
      <c r="G3" s="1"/>
      <c r="H3" s="1"/>
      <c r="I3" s="1"/>
      <c r="J3" s="1"/>
    </row>
    <row r="4" spans="1:10" ht="29.1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9" customHeight="1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1"/>
      <c r="G5" s="1" t="s">
        <v>37</v>
      </c>
      <c r="H5" s="1">
        <f>A10</f>
        <v>50</v>
      </c>
      <c r="I5" s="1"/>
      <c r="J5" s="1"/>
    </row>
    <row r="6" spans="1:10" ht="29.1" customHeight="1">
      <c r="A6" s="1">
        <v>10</v>
      </c>
      <c r="B6" s="6">
        <v>18</v>
      </c>
      <c r="C6" s="1">
        <f>SUM(B$6:B6)</f>
        <v>18</v>
      </c>
      <c r="D6" s="5">
        <f t="shared" ref="D6:D15" si="0">IF(ISNUMBER($H$9),$H$9*(1-EXP(-$H$10*A6)),"нет оценки")</f>
        <v>18.640922413658195</v>
      </c>
      <c r="E6" s="5">
        <f>B6/A6</f>
        <v>1.8</v>
      </c>
      <c r="F6" s="1"/>
      <c r="G6" s="1" t="s">
        <v>38</v>
      </c>
      <c r="H6" s="1">
        <f>SUM(B6:B10)</f>
        <v>63</v>
      </c>
      <c r="I6" s="1"/>
      <c r="J6" s="1"/>
    </row>
    <row r="7" spans="1:10" ht="29.1" customHeight="1">
      <c r="A7" s="1">
        <v>20</v>
      </c>
      <c r="B7" s="6">
        <v>15</v>
      </c>
      <c r="C7" s="1">
        <f>SUM(B$6:B7)</f>
        <v>33</v>
      </c>
      <c r="D7" s="5">
        <f t="shared" si="0"/>
        <v>33.604765584649471</v>
      </c>
      <c r="E7" s="5">
        <f>B7/(A7-A6)</f>
        <v>1.5</v>
      </c>
      <c r="F7" s="1"/>
      <c r="G7" s="1" t="s">
        <v>39</v>
      </c>
      <c r="H7" s="1">
        <f>SUM(B11:B15)</f>
        <v>21</v>
      </c>
      <c r="I7" s="1"/>
      <c r="J7" s="1"/>
    </row>
    <row r="8" spans="1:10" ht="29.1" customHeight="1">
      <c r="A8" s="1">
        <v>30</v>
      </c>
      <c r="B8" s="6">
        <v>12</v>
      </c>
      <c r="C8" s="1">
        <f>SUM(B$6:B8)</f>
        <v>45</v>
      </c>
      <c r="D8" s="5">
        <f t="shared" si="0"/>
        <v>45.616864421666158</v>
      </c>
      <c r="E8" s="5">
        <f>B8/(A8-A7)</f>
        <v>1.2</v>
      </c>
      <c r="F8" s="1"/>
      <c r="G8" s="1" t="s">
        <v>40</v>
      </c>
      <c r="H8" s="7">
        <f>IF(H6&gt;0,H7/H6,"нет оценки")</f>
        <v>0.33333333333333331</v>
      </c>
      <c r="I8" s="1"/>
      <c r="J8" s="1"/>
    </row>
    <row r="9" spans="1:10" ht="29.1" customHeight="1">
      <c r="A9" s="1">
        <v>40</v>
      </c>
      <c r="B9" s="6">
        <v>10</v>
      </c>
      <c r="C9" s="1">
        <f>SUM(B$6:B9)</f>
        <v>55</v>
      </c>
      <c r="D9" s="5">
        <f t="shared" si="0"/>
        <v>55.2594754021112</v>
      </c>
      <c r="E9" s="5">
        <f t="shared" ref="E9:E15" si="1">B9/(A9-A8)</f>
        <v>1</v>
      </c>
      <c r="F9" s="1"/>
      <c r="G9" s="1" t="s">
        <v>41</v>
      </c>
      <c r="H9" s="7">
        <f>IF(AND(ISNUMBER(H8),H8&gt;0,H8&lt;1),H6/(1-H8),"нет оценки")</f>
        <v>94.499999999999986</v>
      </c>
      <c r="I9" s="1"/>
      <c r="J9" s="1"/>
    </row>
    <row r="10" spans="1:10" ht="29.1" customHeight="1">
      <c r="A10" s="1">
        <v>50</v>
      </c>
      <c r="B10" s="6">
        <v>8</v>
      </c>
      <c r="C10" s="1">
        <f>SUM(B$6:B10)</f>
        <v>63</v>
      </c>
      <c r="D10" s="5">
        <f t="shared" si="0"/>
        <v>63</v>
      </c>
      <c r="E10" s="5">
        <f t="shared" si="1"/>
        <v>0.8</v>
      </c>
      <c r="F10" s="1"/>
      <c r="G10" s="1" t="s">
        <v>42</v>
      </c>
      <c r="H10" s="8">
        <f>IF(ISNUMBER(H9),-LN(H8)/H5,"нет оценки")</f>
        <v>2.1972245773362195E-2</v>
      </c>
      <c r="I10" s="1"/>
      <c r="J10" s="1"/>
    </row>
    <row r="11" spans="1:10" ht="29.1" customHeight="1">
      <c r="A11" s="1">
        <v>60</v>
      </c>
      <c r="B11" s="6">
        <v>7</v>
      </c>
      <c r="C11" s="1">
        <f>SUM(B$6:B11)</f>
        <v>70</v>
      </c>
      <c r="D11" s="5">
        <f t="shared" si="0"/>
        <v>69.213640804552725</v>
      </c>
      <c r="E11" s="5">
        <f t="shared" si="1"/>
        <v>0.7</v>
      </c>
      <c r="F11" s="1"/>
      <c r="G11" s="1"/>
      <c r="H11" s="7"/>
      <c r="I11" s="1"/>
      <c r="J11" s="1"/>
    </row>
    <row r="12" spans="1:10" ht="29.1" customHeight="1">
      <c r="A12" s="1">
        <v>70</v>
      </c>
      <c r="B12" s="6">
        <v>5</v>
      </c>
      <c r="C12" s="1">
        <f>SUM(B$6:B12)</f>
        <v>75</v>
      </c>
      <c r="D12" s="5">
        <f t="shared" si="0"/>
        <v>74.201588528216476</v>
      </c>
      <c r="E12" s="5">
        <f t="shared" si="1"/>
        <v>0.5</v>
      </c>
      <c r="F12" s="1"/>
      <c r="G12" s="1" t="s">
        <v>43</v>
      </c>
      <c r="H12" s="9">
        <v>36</v>
      </c>
      <c r="I12" s="1"/>
      <c r="J12" s="1"/>
    </row>
    <row r="13" spans="1:10" ht="29.1" customHeight="1">
      <c r="A13" s="1">
        <v>80</v>
      </c>
      <c r="B13" s="6">
        <v>4</v>
      </c>
      <c r="C13" s="1">
        <f>SUM(B$6:B13)</f>
        <v>79</v>
      </c>
      <c r="D13" s="5">
        <f t="shared" si="0"/>
        <v>78.205621473888712</v>
      </c>
      <c r="E13" s="5">
        <f t="shared" si="1"/>
        <v>0.4</v>
      </c>
      <c r="F13" s="1"/>
      <c r="G13" s="1" t="s">
        <v>44</v>
      </c>
      <c r="H13" s="7">
        <f>IF(ISNUMBER(H9),H9*(1-EXP(-H10*(A15+H12))),"нет оценки")</f>
        <v>89.739396674231159</v>
      </c>
      <c r="I13" s="1"/>
      <c r="J13" s="1">
        <f>H13/H9</f>
        <v>0.94962324522995945</v>
      </c>
    </row>
    <row r="14" spans="1:10" ht="29.1" customHeight="1">
      <c r="A14" s="1">
        <v>90</v>
      </c>
      <c r="B14" s="6">
        <v>3</v>
      </c>
      <c r="C14" s="1">
        <f>SUM(B$6:B14)</f>
        <v>82</v>
      </c>
      <c r="D14" s="5">
        <f t="shared" si="0"/>
        <v>81.419825134037055</v>
      </c>
      <c r="E14" s="5">
        <f t="shared" si="1"/>
        <v>0.3</v>
      </c>
      <c r="F14" s="1"/>
      <c r="G14" s="1" t="s">
        <v>45</v>
      </c>
      <c r="H14" s="7">
        <f>IF(ISNUMBER(H13),H13-D15,"нет оценки")</f>
        <v>5.7393966742311591</v>
      </c>
      <c r="I14" s="1"/>
      <c r="J14" s="1"/>
    </row>
    <row r="15" spans="1:10" ht="29.1" customHeight="1">
      <c r="A15" s="1">
        <v>100</v>
      </c>
      <c r="B15" s="6">
        <v>2</v>
      </c>
      <c r="C15" s="1">
        <f>SUM(B$6:B15)</f>
        <v>84</v>
      </c>
      <c r="D15" s="5">
        <f t="shared" si="0"/>
        <v>84</v>
      </c>
      <c r="E15" s="5">
        <f t="shared" si="1"/>
        <v>0.2</v>
      </c>
      <c r="F15" s="1"/>
      <c r="G15" s="1" t="s">
        <v>46</v>
      </c>
      <c r="H15" s="7">
        <f>IF(ISNUMBER(H9),H9-D15,"нет оценки")</f>
        <v>10.499999999999986</v>
      </c>
      <c r="I15" s="1"/>
      <c r="J15" s="1"/>
    </row>
    <row r="16" spans="1:10" ht="29.1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29.1" customHeight="1">
      <c r="A17" s="1"/>
      <c r="B17" s="1"/>
      <c r="C17" s="1"/>
      <c r="D17" s="1"/>
      <c r="E17" s="1"/>
      <c r="F17" s="1"/>
      <c r="G17" s="1" t="s">
        <v>47</v>
      </c>
      <c r="H17" s="1" t="s">
        <v>48</v>
      </c>
      <c r="I17" s="1"/>
      <c r="J17" s="1"/>
    </row>
    <row r="18" spans="1:10" ht="29.1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9.1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9.1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9.1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9.1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9.1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9.1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9.1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9.1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9.1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9.1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9.1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9.1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9.1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29.1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29.1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29.1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29.1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29.1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29.1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29.1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29.1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29.1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29.1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29.1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29.1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29.1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29.1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</sheetData>
  <dataValidations count="2">
    <dataValidation type="whole" operator="greaterThanOrEqual" sqref="B6:B15">
      <formula1>0</formula1>
    </dataValidation>
    <dataValidation type="decimal" operator="greaterThanOrEqual" sqref="H12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Отказы</vt:lpstr>
      <vt:lpstr>Исправления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221</cp:lastModifiedBy>
  <dcterms:modified xsi:type="dcterms:W3CDTF">2026-09-22T08:45:56Z</dcterms:modified>
</cp:coreProperties>
</file>